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Documents\ft\ftSwarm3\ftSwarm\docs_raw\"/>
    </mc:Choice>
  </mc:AlternateContent>
  <xr:revisionPtr revIDLastSave="0" documentId="13_ncr:1_{2B21786A-1D79-454D-8B87-086EDEE58AB6}" xr6:coauthVersionLast="47" xr6:coauthVersionMax="47" xr10:uidLastSave="{00000000-0000-0000-0000-000000000000}"/>
  <bookViews>
    <workbookView xWindow="-120" yWindow="-120" windowWidth="29040" windowHeight="15840" xr2:uid="{F51EC718-0BE4-43DA-97F7-C878CB2657B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G14" i="1"/>
  <c r="G13" i="1"/>
  <c r="G15" i="1" s="1"/>
  <c r="J14" i="1"/>
  <c r="J13" i="1"/>
  <c r="J12" i="1"/>
  <c r="M14" i="1"/>
  <c r="M13" i="1"/>
  <c r="M12" i="1"/>
  <c r="P15" i="1"/>
  <c r="P12" i="1"/>
  <c r="P13" i="1"/>
  <c r="P14" i="1"/>
  <c r="P11" i="1"/>
  <c r="D7" i="1"/>
  <c r="E7" i="1"/>
  <c r="F7" i="1"/>
  <c r="G7" i="1"/>
  <c r="L7" i="1"/>
  <c r="D6" i="1"/>
  <c r="E6" i="1"/>
  <c r="F6" i="1"/>
  <c r="L6" i="1"/>
  <c r="D4" i="1"/>
  <c r="E4" i="1"/>
  <c r="F4" i="1"/>
  <c r="L4" i="1"/>
  <c r="D5" i="1"/>
  <c r="E5" i="1"/>
  <c r="F5" i="1"/>
  <c r="K5" i="1"/>
  <c r="D8" i="1"/>
  <c r="E8" i="1"/>
  <c r="F8" i="1"/>
  <c r="N1" i="1"/>
  <c r="O3" i="1" s="1"/>
  <c r="K1" i="1"/>
  <c r="L8" i="1" s="1"/>
  <c r="H3" i="1"/>
  <c r="F3" i="1"/>
  <c r="E3" i="1"/>
  <c r="H1" i="1"/>
  <c r="I4" i="1" s="1"/>
  <c r="D3" i="1"/>
  <c r="J15" i="1" l="1"/>
  <c r="M15" i="1"/>
  <c r="K6" i="1"/>
  <c r="M6" i="1" s="1"/>
  <c r="K7" i="1"/>
  <c r="M7" i="1" s="1"/>
  <c r="H6" i="1"/>
  <c r="O7" i="1"/>
  <c r="I7" i="1"/>
  <c r="J7" i="1" s="1"/>
  <c r="K8" i="1"/>
  <c r="L5" i="1"/>
  <c r="M5" i="1" s="1"/>
  <c r="N7" i="1"/>
  <c r="H7" i="1"/>
  <c r="N6" i="1"/>
  <c r="G5" i="1"/>
  <c r="H4" i="1"/>
  <c r="J4" i="1" s="1"/>
  <c r="O6" i="1"/>
  <c r="I6" i="1"/>
  <c r="J6" i="1" s="1"/>
  <c r="G6" i="1"/>
  <c r="M8" i="1"/>
  <c r="O8" i="1"/>
  <c r="L3" i="1"/>
  <c r="N8" i="1"/>
  <c r="P8" i="1" s="1"/>
  <c r="H8" i="1"/>
  <c r="O5" i="1"/>
  <c r="I5" i="1"/>
  <c r="K4" i="1"/>
  <c r="M4" i="1" s="1"/>
  <c r="G4" i="1"/>
  <c r="N4" i="1"/>
  <c r="I3" i="1"/>
  <c r="I8" i="1"/>
  <c r="G8" i="1"/>
  <c r="N5" i="1"/>
  <c r="H5" i="1"/>
  <c r="O4" i="1"/>
  <c r="J5" i="1"/>
  <c r="N3" i="1"/>
  <c r="P3" i="1" s="1"/>
  <c r="K3" i="1"/>
  <c r="M3" i="1" s="1"/>
  <c r="G3" i="1"/>
  <c r="J3" i="1"/>
  <c r="P6" i="1" l="1"/>
  <c r="J8" i="1"/>
  <c r="P7" i="1"/>
  <c r="P5" i="1"/>
  <c r="P4" i="1"/>
</calcChain>
</file>

<file path=xl/sharedStrings.xml><?xml version="1.0" encoding="utf-8"?>
<sst xmlns="http://schemas.openxmlformats.org/spreadsheetml/2006/main" count="31" uniqueCount="15">
  <si>
    <t>low</t>
  </si>
  <si>
    <t>R</t>
  </si>
  <si>
    <t>high</t>
  </si>
  <si>
    <t>2k</t>
  </si>
  <si>
    <t>delta</t>
  </si>
  <si>
    <t>2,5k</t>
  </si>
  <si>
    <t>3k</t>
  </si>
  <si>
    <t>10k</t>
  </si>
  <si>
    <t>4.7k</t>
  </si>
  <si>
    <t>5.6k</t>
  </si>
  <si>
    <t>1k</t>
  </si>
  <si>
    <t>ADC_ATTEN_DB_0</t>
  </si>
  <si>
    <t>ADC_ATTEN_DB_2_5</t>
  </si>
  <si>
    <t>ADC_ATTEN_DB_6</t>
  </si>
  <si>
    <t>ADC_ATTEN_DB_11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</si>
</sst>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0070C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/>
    </xf>
    <xf numFmtId="166" fontId="2" fillId="0" borderId="0" xfId="0" applyNumberFormat="1" applyFont="1"/>
    <xf numFmtId="166" fontId="3" fillId="0" borderId="0" xfId="1" applyNumberFormat="1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Fill="1" applyBorder="1"/>
    <xf numFmtId="0" fontId="2" fillId="2" borderId="6" xfId="0" applyFont="1" applyFill="1" applyBorder="1"/>
    <xf numFmtId="0" fontId="4" fillId="0" borderId="0" xfId="0" applyFont="1" applyAlignment="1">
      <alignment vertical="center"/>
    </xf>
  </cellXfs>
  <cellStyles count="2">
    <cellStyle name="Komma" xfId="1" builtinId="3"/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D63C-4631-460A-BCA0-7405D22F1929}">
  <dimension ref="A1:P15"/>
  <sheetViews>
    <sheetView tabSelected="1" workbookViewId="0">
      <selection activeCell="H12" sqref="H12:J12"/>
    </sheetView>
  </sheetViews>
  <sheetFormatPr baseColWidth="10" defaultRowHeight="15" x14ac:dyDescent="0.25"/>
  <cols>
    <col min="1" max="1" width="19.42578125" bestFit="1" customWidth="1"/>
    <col min="18" max="18" width="9.28515625" bestFit="1" customWidth="1"/>
    <col min="19" max="19" width="9.28515625" customWidth="1"/>
    <col min="21" max="21" width="9.28515625" bestFit="1" customWidth="1"/>
    <col min="22" max="22" width="5" bestFit="1" customWidth="1"/>
    <col min="23" max="24" width="5" customWidth="1"/>
    <col min="25" max="25" width="9.28515625" bestFit="1" customWidth="1"/>
    <col min="29" max="29" width="9.28515625" bestFit="1" customWidth="1"/>
  </cols>
  <sheetData>
    <row r="1" spans="1:16" x14ac:dyDescent="0.25">
      <c r="E1" s="2">
        <v>1.1000000000000001</v>
      </c>
      <c r="F1" s="2"/>
      <c r="G1" s="2"/>
      <c r="H1" s="2">
        <f>1.33*1.1</f>
        <v>1.4630000000000003</v>
      </c>
      <c r="I1" s="2"/>
      <c r="J1" s="2"/>
      <c r="K1" s="2">
        <f>2*1.1</f>
        <v>2.2000000000000002</v>
      </c>
      <c r="L1" s="2"/>
      <c r="M1" s="2"/>
      <c r="N1" s="2">
        <f>3.55*1.1</f>
        <v>3.9050000000000002</v>
      </c>
      <c r="O1" s="2"/>
      <c r="P1" s="2"/>
    </row>
    <row r="2" spans="1:16" x14ac:dyDescent="0.25">
      <c r="A2" t="s">
        <v>1</v>
      </c>
      <c r="B2" t="s">
        <v>0</v>
      </c>
      <c r="C2" t="s">
        <v>2</v>
      </c>
      <c r="D2" t="s">
        <v>4</v>
      </c>
      <c r="E2" t="s">
        <v>0</v>
      </c>
      <c r="F2" t="s">
        <v>2</v>
      </c>
      <c r="G2" t="s">
        <v>4</v>
      </c>
      <c r="H2" t="s">
        <v>0</v>
      </c>
      <c r="I2" t="s">
        <v>2</v>
      </c>
      <c r="J2" t="s">
        <v>4</v>
      </c>
      <c r="K2" t="s">
        <v>0</v>
      </c>
      <c r="L2" t="s">
        <v>2</v>
      </c>
      <c r="M2" t="s">
        <v>4</v>
      </c>
      <c r="N2" t="s">
        <v>0</v>
      </c>
      <c r="O2" t="s">
        <v>2</v>
      </c>
      <c r="P2" t="s">
        <v>4</v>
      </c>
    </row>
    <row r="3" spans="1:16" x14ac:dyDescent="0.25">
      <c r="A3" t="s">
        <v>3</v>
      </c>
      <c r="B3">
        <v>1.17</v>
      </c>
      <c r="C3">
        <v>1.86</v>
      </c>
      <c r="D3">
        <f>C3-B3</f>
        <v>0.69000000000000017</v>
      </c>
      <c r="E3" s="4">
        <f>4096/E$1*$B3</f>
        <v>4356.6545454545449</v>
      </c>
      <c r="F3" s="4">
        <f>4096/E$1*$C3</f>
        <v>6925.9636363636364</v>
      </c>
      <c r="G3" s="1">
        <f>F3-E3</f>
        <v>2569.3090909090915</v>
      </c>
      <c r="H3" s="4">
        <f>4096/H$1*$B3</f>
        <v>3275.6801093643189</v>
      </c>
      <c r="I3" s="4">
        <f>4096/H$1*$C3</f>
        <v>5207.4914559125082</v>
      </c>
      <c r="J3" s="1">
        <f>I3-H3</f>
        <v>1931.8113465481892</v>
      </c>
      <c r="K3" s="4">
        <f>4096/K$1*$B3</f>
        <v>2178.3272727272724</v>
      </c>
      <c r="L3" s="4">
        <f>4096/K$1*$C3</f>
        <v>3462.9818181818182</v>
      </c>
      <c r="M3" s="3">
        <f>L3-K3</f>
        <v>1284.6545454545458</v>
      </c>
      <c r="N3" s="4">
        <f>4096/N$1*$B3</f>
        <v>1227.226632522407</v>
      </c>
      <c r="O3" s="4">
        <f>4096/N$1*$C3</f>
        <v>1950.9756722151089</v>
      </c>
      <c r="P3" s="1">
        <f>O3-N3</f>
        <v>723.7490396927019</v>
      </c>
    </row>
    <row r="4" spans="1:16" x14ac:dyDescent="0.25">
      <c r="A4" t="s">
        <v>5</v>
      </c>
      <c r="B4">
        <v>1.01</v>
      </c>
      <c r="C4">
        <v>1.68</v>
      </c>
      <c r="D4">
        <f t="shared" ref="D4:D8" si="0">C4-B4</f>
        <v>0.66999999999999993</v>
      </c>
      <c r="E4" s="4">
        <f t="shared" ref="E4:E8" si="1">4096/E$1*$B4</f>
        <v>3760.8727272727274</v>
      </c>
      <c r="F4" s="4">
        <f t="shared" ref="F4:F8" si="2">4096/E$1*$C4</f>
        <v>6255.7090909090903</v>
      </c>
      <c r="G4" s="1">
        <f t="shared" ref="G4:G8" si="3">F4-E4</f>
        <v>2494.8363636363629</v>
      </c>
      <c r="H4" s="4">
        <f t="shared" ref="H4:H8" si="4">4096/H$1*$B4</f>
        <v>2827.7238550922757</v>
      </c>
      <c r="I4" s="4">
        <f t="shared" ref="I4:I8" si="5">4096/H$1*$C4</f>
        <v>4703.5406698564584</v>
      </c>
      <c r="J4" s="1">
        <f t="shared" ref="J4:J8" si="6">I4-H4</f>
        <v>1875.8168147641827</v>
      </c>
      <c r="K4" s="4">
        <f t="shared" ref="K4:K8" si="7">4096/K$1*$B4</f>
        <v>1880.4363636363637</v>
      </c>
      <c r="L4" s="4">
        <f t="shared" ref="L4:L8" si="8">4096/K$1*$C4</f>
        <v>3127.8545454545451</v>
      </c>
      <c r="M4" s="3">
        <f t="shared" ref="M4:M8" si="9">L4-K4</f>
        <v>1247.4181818181814</v>
      </c>
      <c r="N4" s="4">
        <f t="shared" ref="N4:N8" si="10">4096/N$1*$B4</f>
        <v>1059.4007682458387</v>
      </c>
      <c r="O4" s="4">
        <f t="shared" ref="O4:O8" si="11">4096/N$1*$C4</f>
        <v>1762.1715749039693</v>
      </c>
      <c r="P4" s="1">
        <f t="shared" ref="P4:P8" si="12">O4-N4</f>
        <v>702.7708066581306</v>
      </c>
    </row>
    <row r="5" spans="1:16" x14ac:dyDescent="0.25">
      <c r="A5" t="s">
        <v>6</v>
      </c>
      <c r="B5">
        <v>0.88</v>
      </c>
      <c r="C5">
        <v>1.53</v>
      </c>
      <c r="D5">
        <f t="shared" si="0"/>
        <v>0.65</v>
      </c>
      <c r="E5" s="4">
        <f t="shared" si="1"/>
        <v>3276.7999999999997</v>
      </c>
      <c r="F5" s="4">
        <f t="shared" si="2"/>
        <v>5697.1636363636362</v>
      </c>
      <c r="G5" s="1">
        <f t="shared" si="3"/>
        <v>2420.3636363636365</v>
      </c>
      <c r="H5" s="4">
        <f t="shared" si="4"/>
        <v>2463.75939849624</v>
      </c>
      <c r="I5" s="4">
        <f t="shared" si="5"/>
        <v>4283.5816814764175</v>
      </c>
      <c r="J5" s="1">
        <f t="shared" si="6"/>
        <v>1819.8222829801775</v>
      </c>
      <c r="K5" s="4">
        <f t="shared" si="7"/>
        <v>1638.3999999999999</v>
      </c>
      <c r="L5" s="4">
        <f t="shared" si="8"/>
        <v>2848.5818181818181</v>
      </c>
      <c r="M5" s="3">
        <f t="shared" si="9"/>
        <v>1210.1818181818182</v>
      </c>
      <c r="N5" s="4">
        <f t="shared" si="10"/>
        <v>923.04225352112678</v>
      </c>
      <c r="O5" s="4">
        <f t="shared" si="11"/>
        <v>1604.8348271446864</v>
      </c>
      <c r="P5" s="1">
        <f t="shared" si="12"/>
        <v>681.79257362355963</v>
      </c>
    </row>
    <row r="6" spans="1:16" x14ac:dyDescent="0.25">
      <c r="A6" t="s">
        <v>8</v>
      </c>
      <c r="B6">
        <v>0.62</v>
      </c>
      <c r="C6">
        <v>1.18</v>
      </c>
      <c r="D6">
        <f t="shared" ref="D6" si="13">C6-B6</f>
        <v>0.55999999999999994</v>
      </c>
      <c r="E6" s="4">
        <f t="shared" si="1"/>
        <v>2308.6545454545453</v>
      </c>
      <c r="F6" s="4">
        <f t="shared" si="2"/>
        <v>4393.8909090909083</v>
      </c>
      <c r="G6" s="1">
        <f t="shared" ref="G6" si="14">F6-E6</f>
        <v>2085.236363636363</v>
      </c>
      <c r="H6" s="4">
        <f t="shared" si="4"/>
        <v>1735.8304853041691</v>
      </c>
      <c r="I6" s="4">
        <f t="shared" si="5"/>
        <v>3303.6773752563217</v>
      </c>
      <c r="J6" s="3">
        <f t="shared" ref="J6" si="15">I6-H6</f>
        <v>1567.8468899521527</v>
      </c>
      <c r="K6" s="4">
        <f t="shared" si="7"/>
        <v>1154.3272727272727</v>
      </c>
      <c r="L6" s="4">
        <f t="shared" si="8"/>
        <v>2196.9454545454541</v>
      </c>
      <c r="M6" s="3">
        <f t="shared" ref="M6" si="16">L6-K6</f>
        <v>1042.6181818181815</v>
      </c>
      <c r="N6" s="4">
        <f t="shared" si="10"/>
        <v>650.32522407170291</v>
      </c>
      <c r="O6" s="4">
        <f t="shared" si="11"/>
        <v>1237.7157490396926</v>
      </c>
      <c r="P6" s="1">
        <f t="shared" ref="P6" si="17">O6-N6</f>
        <v>587.39052496798968</v>
      </c>
    </row>
    <row r="7" spans="1:16" x14ac:dyDescent="0.25">
      <c r="A7" t="s">
        <v>9</v>
      </c>
      <c r="B7">
        <v>0.54</v>
      </c>
      <c r="C7">
        <v>1.05</v>
      </c>
      <c r="D7">
        <f t="shared" ref="D7" si="18">C7-B7</f>
        <v>0.51</v>
      </c>
      <c r="E7" s="4">
        <f t="shared" si="1"/>
        <v>2010.7636363636364</v>
      </c>
      <c r="F7" s="4">
        <f t="shared" si="2"/>
        <v>3909.818181818182</v>
      </c>
      <c r="G7" s="3">
        <f t="shared" ref="G7" si="19">F7-E7</f>
        <v>1899.0545454545456</v>
      </c>
      <c r="H7" s="4">
        <f t="shared" si="4"/>
        <v>1511.8523581681475</v>
      </c>
      <c r="I7" s="4">
        <f t="shared" si="5"/>
        <v>2939.7129186602865</v>
      </c>
      <c r="J7" s="1">
        <f t="shared" ref="J7" si="20">I7-H7</f>
        <v>1427.860560492139</v>
      </c>
      <c r="K7" s="4">
        <f t="shared" si="7"/>
        <v>1005.3818181818182</v>
      </c>
      <c r="L7" s="4">
        <f t="shared" si="8"/>
        <v>1954.909090909091</v>
      </c>
      <c r="M7" s="3">
        <f t="shared" ref="M7" si="21">L7-K7</f>
        <v>949.52727272727282</v>
      </c>
      <c r="N7" s="4">
        <f t="shared" si="10"/>
        <v>566.41229193341871</v>
      </c>
      <c r="O7" s="4">
        <f t="shared" si="11"/>
        <v>1101.3572343149808</v>
      </c>
      <c r="P7" s="1">
        <f t="shared" ref="P7" si="22">O7-N7</f>
        <v>534.9449423815621</v>
      </c>
    </row>
    <row r="8" spans="1:16" x14ac:dyDescent="0.25">
      <c r="A8" t="s">
        <v>7</v>
      </c>
      <c r="B8">
        <v>0.33</v>
      </c>
      <c r="C8">
        <v>0.68</v>
      </c>
      <c r="D8">
        <f t="shared" si="0"/>
        <v>0.35000000000000003</v>
      </c>
      <c r="E8" s="4">
        <f t="shared" si="1"/>
        <v>1228.8</v>
      </c>
      <c r="F8" s="4">
        <f t="shared" si="2"/>
        <v>2532.0727272727272</v>
      </c>
      <c r="G8" s="3">
        <f t="shared" si="3"/>
        <v>1303.2727272727273</v>
      </c>
      <c r="H8" s="4">
        <f t="shared" si="4"/>
        <v>923.90977443609006</v>
      </c>
      <c r="I8" s="4">
        <f t="shared" si="5"/>
        <v>1903.8140806561858</v>
      </c>
      <c r="J8" s="1">
        <f t="shared" si="6"/>
        <v>979.90430622009569</v>
      </c>
      <c r="K8" s="4">
        <f t="shared" si="7"/>
        <v>614.4</v>
      </c>
      <c r="L8" s="4">
        <f t="shared" si="8"/>
        <v>1266.0363636363636</v>
      </c>
      <c r="M8" s="1">
        <f t="shared" si="9"/>
        <v>651.63636363636363</v>
      </c>
      <c r="N8" s="4">
        <f t="shared" si="10"/>
        <v>346.14084507042253</v>
      </c>
      <c r="O8" s="4">
        <f t="shared" si="11"/>
        <v>713.25992317541613</v>
      </c>
      <c r="P8" s="1">
        <f t="shared" si="12"/>
        <v>367.1190781049936</v>
      </c>
    </row>
    <row r="9" spans="1:16" ht="15.75" thickBot="1" x14ac:dyDescent="0.3"/>
    <row r="10" spans="1:16" x14ac:dyDescent="0.25">
      <c r="B10" s="6" t="s">
        <v>10</v>
      </c>
      <c r="C10" s="7"/>
      <c r="D10" s="8"/>
      <c r="E10" s="6" t="s">
        <v>3</v>
      </c>
      <c r="F10" s="7"/>
      <c r="G10" s="8"/>
      <c r="H10" s="6" t="s">
        <v>8</v>
      </c>
      <c r="I10" s="7"/>
      <c r="J10" s="8"/>
      <c r="K10" s="6" t="s">
        <v>9</v>
      </c>
      <c r="L10" s="7"/>
      <c r="M10" s="8"/>
      <c r="N10" s="6" t="s">
        <v>7</v>
      </c>
      <c r="O10" s="7"/>
      <c r="P10" s="8"/>
    </row>
    <row r="11" spans="1:16" x14ac:dyDescent="0.25">
      <c r="A11" s="15" t="s">
        <v>11</v>
      </c>
      <c r="B11" s="9">
        <v>4095</v>
      </c>
      <c r="C11" s="5">
        <v>4095</v>
      </c>
      <c r="D11" s="10"/>
      <c r="E11" s="9">
        <v>4095</v>
      </c>
      <c r="F11" s="5">
        <v>3960</v>
      </c>
      <c r="G11" s="10"/>
      <c r="H11" s="9">
        <v>4095</v>
      </c>
      <c r="I11" s="5">
        <v>2141</v>
      </c>
      <c r="J11" s="10"/>
      <c r="K11" s="9">
        <v>4095</v>
      </c>
      <c r="L11" s="5">
        <v>1863</v>
      </c>
      <c r="M11" s="10"/>
      <c r="N11" s="9">
        <v>2552</v>
      </c>
      <c r="O11" s="5">
        <v>1161</v>
      </c>
      <c r="P11" s="10">
        <f>N11-O11</f>
        <v>1391</v>
      </c>
    </row>
    <row r="12" spans="1:16" x14ac:dyDescent="0.25">
      <c r="A12" s="15" t="s">
        <v>12</v>
      </c>
      <c r="B12" s="9">
        <v>4095</v>
      </c>
      <c r="C12" s="5">
        <v>4095</v>
      </c>
      <c r="D12" s="10"/>
      <c r="E12" s="9">
        <v>4095</v>
      </c>
      <c r="F12" s="5">
        <v>3239</v>
      </c>
      <c r="G12" s="10"/>
      <c r="H12" s="9">
        <v>3615</v>
      </c>
      <c r="I12" s="5">
        <v>1672</v>
      </c>
      <c r="J12" s="14">
        <f t="shared" ref="J12:J14" si="23">H12-I12</f>
        <v>1943</v>
      </c>
      <c r="K12" s="9">
        <v>3207</v>
      </c>
      <c r="L12" s="5">
        <v>1433</v>
      </c>
      <c r="M12" s="10">
        <f t="shared" ref="M12:M14" si="24">K12-L12</f>
        <v>1774</v>
      </c>
      <c r="N12" s="9">
        <v>2022</v>
      </c>
      <c r="O12" s="5">
        <v>847</v>
      </c>
      <c r="P12" s="10">
        <f t="shared" ref="P12:P14" si="25">N12-O12</f>
        <v>1175</v>
      </c>
    </row>
    <row r="13" spans="1:16" x14ac:dyDescent="0.25">
      <c r="A13" s="15" t="s">
        <v>13</v>
      </c>
      <c r="B13" s="9">
        <v>4095</v>
      </c>
      <c r="C13" s="5">
        <v>3517</v>
      </c>
      <c r="D13" s="10"/>
      <c r="E13" s="9">
        <v>4071</v>
      </c>
      <c r="F13" s="5">
        <v>2297</v>
      </c>
      <c r="G13" s="10">
        <f t="shared" ref="G12:G14" si="26">E13-F13</f>
        <v>1774</v>
      </c>
      <c r="H13" s="9">
        <v>2539</v>
      </c>
      <c r="I13" s="5">
        <v>1180</v>
      </c>
      <c r="J13" s="10">
        <f t="shared" si="23"/>
        <v>1359</v>
      </c>
      <c r="K13" s="9">
        <v>2247</v>
      </c>
      <c r="L13" s="5">
        <v>1014</v>
      </c>
      <c r="M13" s="10">
        <f t="shared" si="24"/>
        <v>1233</v>
      </c>
      <c r="N13" s="9">
        <v>1437</v>
      </c>
      <c r="O13" s="5">
        <v>595</v>
      </c>
      <c r="P13" s="10">
        <f t="shared" si="25"/>
        <v>842</v>
      </c>
    </row>
    <row r="14" spans="1:16" ht="15.75" thickBot="1" x14ac:dyDescent="0.3">
      <c r="A14" s="15" t="s">
        <v>14</v>
      </c>
      <c r="B14" s="11">
        <v>2789</v>
      </c>
      <c r="C14" s="12">
        <v>1879</v>
      </c>
      <c r="D14" s="10">
        <f t="shared" ref="D12:D14" si="27">B14-C14</f>
        <v>910</v>
      </c>
      <c r="E14" s="11">
        <v>2171</v>
      </c>
      <c r="F14" s="12">
        <v>1227</v>
      </c>
      <c r="G14" s="10">
        <f t="shared" si="26"/>
        <v>944</v>
      </c>
      <c r="H14" s="11">
        <v>1353</v>
      </c>
      <c r="I14" s="12">
        <v>629</v>
      </c>
      <c r="J14" s="10">
        <f t="shared" si="23"/>
        <v>724</v>
      </c>
      <c r="K14" s="11">
        <v>1196</v>
      </c>
      <c r="L14" s="12">
        <v>541</v>
      </c>
      <c r="M14" s="10">
        <f t="shared" si="24"/>
        <v>655</v>
      </c>
      <c r="N14" s="11">
        <v>765</v>
      </c>
      <c r="O14" s="12">
        <v>315</v>
      </c>
      <c r="P14" s="10">
        <f t="shared" si="25"/>
        <v>450</v>
      </c>
    </row>
    <row r="15" spans="1:16" x14ac:dyDescent="0.25">
      <c r="D15" s="13">
        <f>MAX(D11:D14)</f>
        <v>910</v>
      </c>
      <c r="G15" s="13">
        <f>MAX(G11:G14)</f>
        <v>1774</v>
      </c>
      <c r="J15" s="13">
        <f>MAX(J11:J14)</f>
        <v>1943</v>
      </c>
      <c r="M15" s="13">
        <f>MAX(M11:M14)</f>
        <v>1774</v>
      </c>
      <c r="P15" s="13">
        <f>MAX(P11:P14)</f>
        <v>1391</v>
      </c>
    </row>
  </sheetData>
  <mergeCells count="9">
    <mergeCell ref="E1:G1"/>
    <mergeCell ref="H1:J1"/>
    <mergeCell ref="K1:M1"/>
    <mergeCell ref="N1:P1"/>
    <mergeCell ref="B10:D10"/>
    <mergeCell ref="E10:G10"/>
    <mergeCell ref="H10:J10"/>
    <mergeCell ref="K10:M10"/>
    <mergeCell ref="N10:P10"/>
  </mergeCells>
  <conditionalFormatting sqref="E3:F8">
    <cfRule type="cellIs" dxfId="4" priority="5" operator="greaterThan">
      <formula>4095</formula>
    </cfRule>
  </conditionalFormatting>
  <conditionalFormatting sqref="H3:I8">
    <cfRule type="cellIs" dxfId="2" priority="3" operator="greaterThan">
      <formula>4095</formula>
    </cfRule>
  </conditionalFormatting>
  <conditionalFormatting sqref="K3:L8">
    <cfRule type="cellIs" dxfId="1" priority="2" operator="greaterThan">
      <formula>4095</formula>
    </cfRule>
  </conditionalFormatting>
  <conditionalFormatting sqref="N3:O8">
    <cfRule type="cellIs" dxfId="0" priority="1" operator="greaterThan">
      <formula>4095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Fuss</dc:creator>
  <cp:lastModifiedBy>Stefan Fuss</cp:lastModifiedBy>
  <dcterms:created xsi:type="dcterms:W3CDTF">2025-04-15T16:12:10Z</dcterms:created>
  <dcterms:modified xsi:type="dcterms:W3CDTF">2025-04-15T16:53:05Z</dcterms:modified>
</cp:coreProperties>
</file>