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Documents\ft\ftSwarm3\ftSwarm\docs_raw\"/>
    </mc:Choice>
  </mc:AlternateContent>
  <xr:revisionPtr revIDLastSave="0" documentId="13_ncr:1_{11C4329E-B671-4D96-8086-8CB68CB0BBA9}" xr6:coauthVersionLast="47" xr6:coauthVersionMax="47" xr10:uidLastSave="{00000000-0000-0000-0000-000000000000}"/>
  <bookViews>
    <workbookView xWindow="-120" yWindow="-120" windowWidth="29040" windowHeight="15840" xr2:uid="{8C7F18E9-831B-4BDB-BF8A-964E68EC846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I17" i="1"/>
  <c r="J15" i="1"/>
  <c r="I15" i="1"/>
  <c r="J34" i="1"/>
  <c r="J33" i="1"/>
  <c r="J32" i="1"/>
  <c r="J31" i="1"/>
  <c r="J30" i="1"/>
  <c r="J29" i="1"/>
  <c r="J27" i="1"/>
  <c r="J28" i="1"/>
  <c r="J26" i="1"/>
  <c r="J25" i="1"/>
  <c r="J24" i="1"/>
  <c r="J23" i="1"/>
  <c r="J18" i="1"/>
  <c r="J16" i="1"/>
  <c r="J7" i="1"/>
  <c r="J6" i="1"/>
  <c r="J5" i="1"/>
  <c r="J4" i="1"/>
  <c r="I7" i="1"/>
  <c r="L9" i="1"/>
  <c r="L8" i="1"/>
  <c r="L34" i="1"/>
  <c r="L33" i="1"/>
  <c r="L32" i="1"/>
  <c r="L31" i="1"/>
  <c r="L30" i="1"/>
  <c r="L29" i="1"/>
  <c r="L28" i="1"/>
  <c r="L27" i="1"/>
  <c r="L26" i="1"/>
  <c r="L25" i="1"/>
  <c r="L24" i="1"/>
  <c r="L23" i="1"/>
  <c r="L18" i="1"/>
  <c r="L16" i="1"/>
  <c r="L17" i="1"/>
  <c r="L15" i="1"/>
  <c r="L7" i="1"/>
  <c r="L6" i="1"/>
  <c r="L5" i="1"/>
  <c r="L4" i="1"/>
  <c r="K26" i="1"/>
  <c r="I26" i="1"/>
  <c r="M7" i="1"/>
  <c r="M27" i="1"/>
  <c r="M28" i="1"/>
  <c r="M26" i="1"/>
  <c r="M32" i="1"/>
  <c r="K32" i="1"/>
  <c r="I32" i="1"/>
  <c r="M31" i="1"/>
  <c r="K31" i="1"/>
  <c r="I31" i="1"/>
  <c r="M4" i="1"/>
  <c r="K4" i="1"/>
  <c r="I4" i="1"/>
  <c r="M34" i="1"/>
  <c r="M33" i="1"/>
  <c r="M30" i="1"/>
  <c r="M29" i="1"/>
  <c r="M25" i="1"/>
  <c r="M24" i="1"/>
  <c r="M23" i="1"/>
  <c r="M18" i="1"/>
  <c r="M16" i="1"/>
  <c r="M17" i="1"/>
  <c r="M15" i="1"/>
  <c r="M6" i="1"/>
  <c r="M5" i="1"/>
  <c r="K34" i="1"/>
  <c r="K33" i="1"/>
  <c r="K30" i="1"/>
  <c r="K29" i="1"/>
  <c r="K28" i="1"/>
  <c r="K27" i="1"/>
  <c r="K25" i="1"/>
  <c r="K24" i="1"/>
  <c r="K23" i="1"/>
  <c r="K20" i="1"/>
  <c r="K18" i="1"/>
  <c r="K17" i="1"/>
  <c r="K15" i="1"/>
  <c r="K16" i="1"/>
  <c r="K14" i="1"/>
  <c r="K9" i="1"/>
  <c r="K8" i="1"/>
  <c r="K7" i="1"/>
  <c r="K6" i="1"/>
  <c r="K5" i="1"/>
  <c r="I16" i="1"/>
  <c r="I34" i="1"/>
  <c r="I33" i="1"/>
  <c r="I30" i="1"/>
  <c r="I29" i="1"/>
  <c r="I28" i="1"/>
  <c r="I27" i="1"/>
  <c r="I25" i="1"/>
  <c r="I24" i="1"/>
  <c r="I23" i="1"/>
  <c r="I20" i="1"/>
  <c r="I18" i="1"/>
  <c r="I6" i="1"/>
  <c r="I5" i="1"/>
</calcChain>
</file>

<file path=xl/sharedStrings.xml><?xml version="1.0" encoding="utf-8"?>
<sst xmlns="http://schemas.openxmlformats.org/spreadsheetml/2006/main" count="188" uniqueCount="152">
  <si>
    <t>IO0</t>
  </si>
  <si>
    <t>IO1</t>
  </si>
  <si>
    <t>IO2</t>
  </si>
  <si>
    <t>IO3</t>
  </si>
  <si>
    <t>IO4</t>
  </si>
  <si>
    <t>IO5</t>
  </si>
  <si>
    <t>IO6</t>
  </si>
  <si>
    <t>IO7</t>
  </si>
  <si>
    <t>IO8</t>
  </si>
  <si>
    <t>IO9</t>
  </si>
  <si>
    <t>IO10</t>
  </si>
  <si>
    <t>IO11</t>
  </si>
  <si>
    <t>IO12</t>
  </si>
  <si>
    <t>IO13</t>
  </si>
  <si>
    <t>IO14</t>
  </si>
  <si>
    <t>IO15</t>
  </si>
  <si>
    <t>IO16</t>
  </si>
  <si>
    <t>IO17</t>
  </si>
  <si>
    <t>IO18</t>
  </si>
  <si>
    <t>IO19</t>
  </si>
  <si>
    <t>IO20</t>
  </si>
  <si>
    <t>IO21</t>
  </si>
  <si>
    <t>BOOT</t>
  </si>
  <si>
    <t>A1</t>
  </si>
  <si>
    <t>A2</t>
  </si>
  <si>
    <t>H4.9</t>
  </si>
  <si>
    <t>H4.11</t>
  </si>
  <si>
    <t>H4.13</t>
  </si>
  <si>
    <t>H4.15</t>
  </si>
  <si>
    <t>H4.10</t>
  </si>
  <si>
    <t>H4.20</t>
  </si>
  <si>
    <t>A5</t>
  </si>
  <si>
    <t>H4.8</t>
  </si>
  <si>
    <t>H4.6</t>
  </si>
  <si>
    <t>A6</t>
  </si>
  <si>
    <t>H4.14</t>
  </si>
  <si>
    <t>H4.16</t>
  </si>
  <si>
    <t>H4.17</t>
  </si>
  <si>
    <t>H4.18</t>
  </si>
  <si>
    <t>H4.19</t>
  </si>
  <si>
    <t>M1_IN1</t>
  </si>
  <si>
    <t>M1_IN2</t>
  </si>
  <si>
    <t>H4.12</t>
  </si>
  <si>
    <t>A3</t>
  </si>
  <si>
    <t>A4</t>
  </si>
  <si>
    <t>IO39</t>
  </si>
  <si>
    <t>Input</t>
  </si>
  <si>
    <t>Motor</t>
  </si>
  <si>
    <t>SD-CARD</t>
  </si>
  <si>
    <t>Gyro</t>
  </si>
  <si>
    <t>A Power</t>
  </si>
  <si>
    <t>IO40</t>
  </si>
  <si>
    <t>IO45</t>
  </si>
  <si>
    <t>M2_IN1</t>
  </si>
  <si>
    <t>M2_IN2</t>
  </si>
  <si>
    <t>IO46</t>
  </si>
  <si>
    <t>IO47</t>
  </si>
  <si>
    <t>H4.5</t>
  </si>
  <si>
    <t>H4.7</t>
  </si>
  <si>
    <t>IO48</t>
  </si>
  <si>
    <t>ADC1_3</t>
  </si>
  <si>
    <t>ADC1_4</t>
  </si>
  <si>
    <t>ADC1_5</t>
  </si>
  <si>
    <t>ADC1_6</t>
  </si>
  <si>
    <t>ADC1_0</t>
  </si>
  <si>
    <t>ADC1_1</t>
  </si>
  <si>
    <t>ADC2_4</t>
  </si>
  <si>
    <t>ADC2_5</t>
  </si>
  <si>
    <t>ADC2_6</t>
  </si>
  <si>
    <t>ADC2_7</t>
  </si>
  <si>
    <t>JTAG</t>
  </si>
  <si>
    <t>ADC1_2</t>
  </si>
  <si>
    <t>Strapping</t>
  </si>
  <si>
    <t>IO43</t>
  </si>
  <si>
    <t>IO44</t>
  </si>
  <si>
    <t>TxD</t>
  </si>
  <si>
    <t>RxD</t>
  </si>
  <si>
    <t>D-</t>
  </si>
  <si>
    <t>D+</t>
  </si>
  <si>
    <t>SPI Voltage</t>
  </si>
  <si>
    <t>BootMode</t>
  </si>
  <si>
    <t>ADC1_7</t>
  </si>
  <si>
    <t>ADC1_8</t>
  </si>
  <si>
    <t>ADC1_9</t>
  </si>
  <si>
    <t>ADC2_0</t>
  </si>
  <si>
    <t>ADC2_1</t>
  </si>
  <si>
    <t>ADC2_2</t>
  </si>
  <si>
    <t>ADC2_3</t>
  </si>
  <si>
    <t>ADC2_8</t>
  </si>
  <si>
    <t>ADC2_9</t>
  </si>
  <si>
    <t>GPIO only</t>
  </si>
  <si>
    <t>IO41</t>
  </si>
  <si>
    <t>IO42</t>
  </si>
  <si>
    <t>PUA2</t>
  </si>
  <si>
    <t>USTX</t>
  </si>
  <si>
    <t>Weak pullup</t>
  </si>
  <si>
    <t>Extention</t>
  </si>
  <si>
    <t>ESP32-S3</t>
  </si>
  <si>
    <t>ftSwarm UC</t>
  </si>
  <si>
    <t>ftSwarmRC</t>
  </si>
  <si>
    <t>SERVO1</t>
  </si>
  <si>
    <t>LED</t>
  </si>
  <si>
    <t>S1</t>
  </si>
  <si>
    <t>S2</t>
  </si>
  <si>
    <t>M3_IN1</t>
  </si>
  <si>
    <t>M3_IN2</t>
  </si>
  <si>
    <t>M4_IN1</t>
  </si>
  <si>
    <t>M4_IN2</t>
  </si>
  <si>
    <t>S3</t>
  </si>
  <si>
    <t>S4</t>
  </si>
  <si>
    <t>SDA2</t>
  </si>
  <si>
    <t>SDC2</t>
  </si>
  <si>
    <t>H4.2</t>
  </si>
  <si>
    <t>ftSwarmRS</t>
  </si>
  <si>
    <t>SERVO2</t>
  </si>
  <si>
    <t>RS485_R</t>
  </si>
  <si>
    <t>RS485_#REB</t>
  </si>
  <si>
    <t>RS485_D</t>
  </si>
  <si>
    <t>RS485_DE</t>
  </si>
  <si>
    <t>1.2.0</t>
  </si>
  <si>
    <t>2.1.0.C</t>
  </si>
  <si>
    <t>ftSwarmControl</t>
  </si>
  <si>
    <t>JOY1LR</t>
  </si>
  <si>
    <t>JOY1FB</t>
  </si>
  <si>
    <t>JOY2LR</t>
  </si>
  <si>
    <t>JOY2FB</t>
  </si>
  <si>
    <t>MISO165</t>
  </si>
  <si>
    <t>CS165</t>
  </si>
  <si>
    <t>LD165</t>
  </si>
  <si>
    <t>CLK165</t>
  </si>
  <si>
    <t>INT2 (2.1.0A only)</t>
  </si>
  <si>
    <t>IO38</t>
  </si>
  <si>
    <t>CD (2.1.A only)</t>
  </si>
  <si>
    <t>CMD (2.1.A only)</t>
  </si>
  <si>
    <t>CLK (2.1.A only)</t>
  </si>
  <si>
    <t>DAT0 (2.1.A only)</t>
  </si>
  <si>
    <t>SPI_CS (2.1.2)</t>
  </si>
  <si>
    <t>SDA (2.1.0A only)</t>
  </si>
  <si>
    <t>SDC (2.1.0A only)</t>
  </si>
  <si>
    <t>INT1 (2.1.0A only)</t>
  </si>
  <si>
    <t>SPI_SDI (2.1.2)</t>
  </si>
  <si>
    <t>SPI_SDO (2.1.2)</t>
  </si>
  <si>
    <t>SPI_SPC (2.1.2)</t>
  </si>
  <si>
    <t>mit UC 2.1.0A</t>
  </si>
  <si>
    <t>mit UC 2.1.2</t>
  </si>
  <si>
    <t>SDA OLED</t>
  </si>
  <si>
    <t>SDC OLED</t>
  </si>
  <si>
    <t>LED RED</t>
  </si>
  <si>
    <t>LED YELLOW</t>
  </si>
  <si>
    <t>LED GREEN</t>
  </si>
  <si>
    <t>LED BLUE</t>
  </si>
  <si>
    <t>IRLED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</si>
</sst>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424242"/>
      <name val="Arial"/>
      <family val="2"/>
    </font>
    <font>
      <sz val="1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7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1" xfId="0" quotePrefix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EC5B-85EE-456A-A219-B98E5DA19AA0}">
  <dimension ref="A1:O36"/>
  <sheetViews>
    <sheetView tabSelected="1" workbookViewId="0">
      <selection activeCell="J18" sqref="J18"/>
    </sheetView>
  </sheetViews>
  <sheetFormatPr baseColWidth="10" defaultRowHeight="15" x14ac:dyDescent="0.25"/>
  <cols>
    <col min="2" max="2" width="12.85546875" bestFit="1" customWidth="1"/>
    <col min="3" max="3" width="12" bestFit="1" customWidth="1"/>
    <col min="4" max="4" width="8" bestFit="1" customWidth="1"/>
    <col min="5" max="5" width="7.42578125" bestFit="1" customWidth="1"/>
    <col min="6" max="6" width="15.28515625" bestFit="1" customWidth="1"/>
    <col min="7" max="7" width="16.42578125" bestFit="1" customWidth="1"/>
    <col min="9" max="9" width="16.42578125" bestFit="1" customWidth="1"/>
    <col min="10" max="10" width="16.42578125" customWidth="1"/>
    <col min="11" max="11" width="16.42578125" bestFit="1" customWidth="1"/>
    <col min="12" max="12" width="16.42578125" customWidth="1"/>
    <col min="13" max="13" width="16.42578125" bestFit="1" customWidth="1"/>
  </cols>
  <sheetData>
    <row r="1" spans="1:15" x14ac:dyDescent="0.25">
      <c r="A1" s="42" t="s">
        <v>97</v>
      </c>
      <c r="B1" s="43"/>
      <c r="C1" s="44"/>
      <c r="D1" s="45" t="s">
        <v>98</v>
      </c>
      <c r="E1" s="43"/>
      <c r="F1" s="43"/>
      <c r="G1" s="43"/>
      <c r="H1" s="46"/>
      <c r="I1" s="49" t="s">
        <v>99</v>
      </c>
      <c r="J1" s="50"/>
      <c r="K1" s="49" t="s">
        <v>113</v>
      </c>
      <c r="L1" s="50"/>
      <c r="M1" s="34" t="s">
        <v>121</v>
      </c>
    </row>
    <row r="2" spans="1:15" x14ac:dyDescent="0.25">
      <c r="A2" s="35"/>
      <c r="B2" s="36"/>
      <c r="C2" s="37"/>
      <c r="D2" s="38"/>
      <c r="E2" s="36"/>
      <c r="F2" s="36"/>
      <c r="G2" s="36"/>
      <c r="H2" s="39"/>
      <c r="I2" s="51" t="s">
        <v>119</v>
      </c>
      <c r="J2" s="48"/>
      <c r="K2" s="47" t="s">
        <v>120</v>
      </c>
      <c r="L2" s="48"/>
      <c r="M2" s="40"/>
    </row>
    <row r="3" spans="1:15" ht="15.75" thickBot="1" x14ac:dyDescent="0.3">
      <c r="A3" s="4"/>
      <c r="B3" s="5"/>
      <c r="C3" s="6" t="s">
        <v>72</v>
      </c>
      <c r="D3" s="24" t="s">
        <v>46</v>
      </c>
      <c r="E3" s="25" t="s">
        <v>47</v>
      </c>
      <c r="F3" s="25" t="s">
        <v>48</v>
      </c>
      <c r="G3" s="25" t="s">
        <v>49</v>
      </c>
      <c r="H3" s="18" t="s">
        <v>96</v>
      </c>
      <c r="I3" s="27" t="s">
        <v>143</v>
      </c>
      <c r="J3" s="27" t="s">
        <v>144</v>
      </c>
      <c r="K3" s="27" t="s">
        <v>143</v>
      </c>
      <c r="L3" s="27" t="s">
        <v>144</v>
      </c>
      <c r="M3" s="27" t="s">
        <v>120</v>
      </c>
    </row>
    <row r="4" spans="1:15" x14ac:dyDescent="0.25">
      <c r="A4" s="19" t="s">
        <v>0</v>
      </c>
      <c r="B4" s="20" t="s">
        <v>22</v>
      </c>
      <c r="C4" s="21"/>
      <c r="D4" s="22"/>
      <c r="E4" s="20"/>
      <c r="F4" s="20"/>
      <c r="G4" s="20"/>
      <c r="H4" s="23"/>
      <c r="I4" s="28" t="str">
        <f>B4</f>
        <v>BOOT</v>
      </c>
      <c r="J4" s="28" t="str">
        <f>B4</f>
        <v>BOOT</v>
      </c>
      <c r="K4" s="28" t="str">
        <f>B4</f>
        <v>BOOT</v>
      </c>
      <c r="L4" s="28" t="str">
        <f>B4</f>
        <v>BOOT</v>
      </c>
      <c r="M4" s="28" t="str">
        <f>B4</f>
        <v>BOOT</v>
      </c>
    </row>
    <row r="5" spans="1:15" x14ac:dyDescent="0.25">
      <c r="A5" s="1" t="s">
        <v>1</v>
      </c>
      <c r="B5" s="2" t="s">
        <v>64</v>
      </c>
      <c r="C5" s="3"/>
      <c r="D5" s="12" t="s">
        <v>23</v>
      </c>
      <c r="E5" s="2"/>
      <c r="F5" s="2"/>
      <c r="G5" s="2"/>
      <c r="H5" s="10"/>
      <c r="I5" s="29" t="str">
        <f>D5</f>
        <v>A1</v>
      </c>
      <c r="J5" s="29" t="str">
        <f>D5</f>
        <v>A1</v>
      </c>
      <c r="K5" s="29" t="str">
        <f>D5</f>
        <v>A1</v>
      </c>
      <c r="L5" s="29" t="str">
        <f>D5</f>
        <v>A1</v>
      </c>
      <c r="M5" s="29" t="str">
        <f>D5</f>
        <v>A1</v>
      </c>
    </row>
    <row r="6" spans="1:15" x14ac:dyDescent="0.25">
      <c r="A6" s="1" t="s">
        <v>2</v>
      </c>
      <c r="B6" s="2" t="s">
        <v>65</v>
      </c>
      <c r="C6" s="3"/>
      <c r="D6" s="12" t="s">
        <v>24</v>
      </c>
      <c r="E6" s="2"/>
      <c r="F6" s="2"/>
      <c r="G6" s="2"/>
      <c r="H6" s="10"/>
      <c r="I6" s="29" t="str">
        <f>D6</f>
        <v>A2</v>
      </c>
      <c r="J6" s="29" t="str">
        <f>D6</f>
        <v>A2</v>
      </c>
      <c r="K6" s="29" t="str">
        <f>D6</f>
        <v>A2</v>
      </c>
      <c r="L6" s="29" t="str">
        <f>D6</f>
        <v>A2</v>
      </c>
      <c r="M6" s="29" t="str">
        <f>D6</f>
        <v>A2</v>
      </c>
    </row>
    <row r="7" spans="1:15" x14ac:dyDescent="0.25">
      <c r="A7" s="1" t="s">
        <v>3</v>
      </c>
      <c r="B7" s="2" t="s">
        <v>71</v>
      </c>
      <c r="C7" s="3" t="s">
        <v>70</v>
      </c>
      <c r="D7" s="7"/>
      <c r="E7" s="2"/>
      <c r="F7" s="15" t="s">
        <v>132</v>
      </c>
      <c r="G7" s="14" t="s">
        <v>136</v>
      </c>
      <c r="H7" s="10"/>
      <c r="I7" s="30" t="str">
        <f>G7</f>
        <v>SPI_CS (2.1.2)</v>
      </c>
      <c r="J7" s="31" t="str">
        <f>G7</f>
        <v>SPI_CS (2.1.2)</v>
      </c>
      <c r="K7" s="30" t="str">
        <f>F7</f>
        <v>CD (2.1.A only)</v>
      </c>
      <c r="L7" s="31" t="str">
        <f>G7</f>
        <v>SPI_CS (2.1.2)</v>
      </c>
      <c r="M7" s="31" t="str">
        <f>G7</f>
        <v>SPI_CS (2.1.2)</v>
      </c>
    </row>
    <row r="8" spans="1:15" ht="15.75" x14ac:dyDescent="0.25">
      <c r="A8" s="1" t="s">
        <v>4</v>
      </c>
      <c r="B8" s="2" t="s">
        <v>60</v>
      </c>
      <c r="C8" s="3" t="s">
        <v>95</v>
      </c>
      <c r="D8" s="8"/>
      <c r="E8" s="2"/>
      <c r="F8" s="2"/>
      <c r="G8" s="14" t="s">
        <v>137</v>
      </c>
      <c r="H8" s="10" t="s">
        <v>25</v>
      </c>
      <c r="I8" s="16" t="s">
        <v>147</v>
      </c>
      <c r="J8" s="16" t="s">
        <v>147</v>
      </c>
      <c r="K8" s="31" t="str">
        <f>G8</f>
        <v>SDA (2.1.0A only)</v>
      </c>
      <c r="L8" s="31" t="str">
        <f>G8</f>
        <v>SDA (2.1.0A only)</v>
      </c>
      <c r="M8" s="33" t="s">
        <v>145</v>
      </c>
    </row>
    <row r="9" spans="1:15" x14ac:dyDescent="0.25">
      <c r="A9" s="1" t="s">
        <v>5</v>
      </c>
      <c r="B9" s="2" t="s">
        <v>61</v>
      </c>
      <c r="C9" s="3"/>
      <c r="D9" s="7"/>
      <c r="E9" s="2"/>
      <c r="F9" s="2"/>
      <c r="G9" s="14" t="s">
        <v>138</v>
      </c>
      <c r="H9" s="10" t="s">
        <v>26</v>
      </c>
      <c r="I9" s="16" t="s">
        <v>148</v>
      </c>
      <c r="J9" s="16" t="s">
        <v>149</v>
      </c>
      <c r="K9" s="31" t="str">
        <f>G9</f>
        <v>SDC (2.1.0A only)</v>
      </c>
      <c r="L9" s="31" t="str">
        <f>G9</f>
        <v>SDC (2.1.0A only)</v>
      </c>
      <c r="M9" s="33" t="s">
        <v>146</v>
      </c>
    </row>
    <row r="10" spans="1:15" x14ac:dyDescent="0.25">
      <c r="A10" s="1" t="s">
        <v>6</v>
      </c>
      <c r="B10" s="2" t="s">
        <v>62</v>
      </c>
      <c r="C10" s="3"/>
      <c r="D10" s="7"/>
      <c r="E10" s="2"/>
      <c r="F10" s="2"/>
      <c r="G10" s="2"/>
      <c r="H10" s="10" t="s">
        <v>27</v>
      </c>
      <c r="I10" s="16" t="s">
        <v>102</v>
      </c>
      <c r="J10" s="16" t="s">
        <v>102</v>
      </c>
      <c r="K10" s="16" t="s">
        <v>115</v>
      </c>
      <c r="L10" s="16" t="s">
        <v>115</v>
      </c>
      <c r="M10" s="16" t="s">
        <v>122</v>
      </c>
    </row>
    <row r="11" spans="1:15" x14ac:dyDescent="0.25">
      <c r="A11" s="1" t="s">
        <v>7</v>
      </c>
      <c r="B11" s="2" t="s">
        <v>63</v>
      </c>
      <c r="C11" s="3"/>
      <c r="D11" s="7"/>
      <c r="E11" s="2"/>
      <c r="F11" s="2"/>
      <c r="G11" s="2"/>
      <c r="H11" s="10" t="s">
        <v>28</v>
      </c>
      <c r="I11" s="16" t="s">
        <v>103</v>
      </c>
      <c r="J11" s="16" t="s">
        <v>103</v>
      </c>
      <c r="K11" s="16" t="s">
        <v>116</v>
      </c>
      <c r="L11" s="16" t="s">
        <v>116</v>
      </c>
      <c r="M11" s="16" t="s">
        <v>123</v>
      </c>
    </row>
    <row r="12" spans="1:15" x14ac:dyDescent="0.25">
      <c r="A12" s="1" t="s">
        <v>8</v>
      </c>
      <c r="B12" s="2" t="s">
        <v>81</v>
      </c>
      <c r="C12" s="3"/>
      <c r="D12" s="7"/>
      <c r="E12" s="2"/>
      <c r="F12" s="2"/>
      <c r="G12" s="2"/>
      <c r="H12" s="10" t="s">
        <v>29</v>
      </c>
      <c r="I12" s="16" t="s">
        <v>108</v>
      </c>
      <c r="J12" s="16" t="s">
        <v>108</v>
      </c>
      <c r="K12" s="16" t="s">
        <v>110</v>
      </c>
      <c r="L12" s="16" t="s">
        <v>110</v>
      </c>
      <c r="M12" s="16" t="s">
        <v>110</v>
      </c>
    </row>
    <row r="13" spans="1:15" x14ac:dyDescent="0.25">
      <c r="A13" s="1" t="s">
        <v>9</v>
      </c>
      <c r="B13" s="2" t="s">
        <v>82</v>
      </c>
      <c r="C13" s="3"/>
      <c r="D13" s="7"/>
      <c r="E13" s="2"/>
      <c r="F13" s="2"/>
      <c r="G13" s="2"/>
      <c r="H13" s="10" t="s">
        <v>30</v>
      </c>
      <c r="I13" s="16" t="s">
        <v>109</v>
      </c>
      <c r="J13" s="16" t="s">
        <v>109</v>
      </c>
      <c r="K13" s="16" t="s">
        <v>111</v>
      </c>
      <c r="L13" s="16" t="s">
        <v>111</v>
      </c>
      <c r="M13" s="16" t="s">
        <v>111</v>
      </c>
    </row>
    <row r="14" spans="1:15" x14ac:dyDescent="0.25">
      <c r="A14" s="1" t="s">
        <v>10</v>
      </c>
      <c r="B14" s="2" t="s">
        <v>83</v>
      </c>
      <c r="C14" s="3"/>
      <c r="D14" s="7"/>
      <c r="E14" s="2"/>
      <c r="F14" s="2"/>
      <c r="G14" s="14" t="s">
        <v>130</v>
      </c>
      <c r="H14" s="10" t="s">
        <v>112</v>
      </c>
      <c r="I14" s="16" t="s">
        <v>150</v>
      </c>
      <c r="J14" s="16" t="s">
        <v>150</v>
      </c>
      <c r="K14" s="31" t="str">
        <f>G14</f>
        <v>INT2 (2.1.0A only)</v>
      </c>
      <c r="L14" s="33"/>
      <c r="M14" s="16" t="s">
        <v>127</v>
      </c>
    </row>
    <row r="15" spans="1:15" x14ac:dyDescent="0.25">
      <c r="A15" s="1" t="s">
        <v>11</v>
      </c>
      <c r="B15" s="2" t="s">
        <v>84</v>
      </c>
      <c r="C15" s="3"/>
      <c r="D15" s="12" t="s">
        <v>31</v>
      </c>
      <c r="E15" s="2"/>
      <c r="F15" s="2"/>
      <c r="G15" s="2"/>
      <c r="H15" s="10" t="s">
        <v>32</v>
      </c>
      <c r="I15" s="29" t="str">
        <f>D15</f>
        <v>A5</v>
      </c>
      <c r="J15" s="29" t="str">
        <f>D15</f>
        <v>A5</v>
      </c>
      <c r="K15" s="29" t="str">
        <f>D15</f>
        <v>A5</v>
      </c>
      <c r="L15" s="29" t="str">
        <f>D15</f>
        <v>A5</v>
      </c>
      <c r="M15" s="29" t="str">
        <f>D15</f>
        <v>A5</v>
      </c>
    </row>
    <row r="16" spans="1:15" x14ac:dyDescent="0.25">
      <c r="A16" s="1" t="s">
        <v>12</v>
      </c>
      <c r="B16" s="2" t="s">
        <v>85</v>
      </c>
      <c r="C16" s="3"/>
      <c r="D16" s="12" t="s">
        <v>50</v>
      </c>
      <c r="E16" s="2"/>
      <c r="F16" s="2"/>
      <c r="G16" s="2"/>
      <c r="H16" s="10" t="s">
        <v>33</v>
      </c>
      <c r="I16" s="29" t="str">
        <f>D16</f>
        <v>A Power</v>
      </c>
      <c r="J16" s="29" t="str">
        <f>D16</f>
        <v>A Power</v>
      </c>
      <c r="K16" s="29" t="str">
        <f>D16</f>
        <v>A Power</v>
      </c>
      <c r="L16" s="29" t="str">
        <f t="shared" ref="L16:L17" si="0">D16</f>
        <v>A Power</v>
      </c>
      <c r="M16" s="29" t="str">
        <f t="shared" ref="M16:M17" si="1">D16</f>
        <v>A Power</v>
      </c>
      <c r="O16" s="41"/>
    </row>
    <row r="17" spans="1:13" x14ac:dyDescent="0.25">
      <c r="A17" s="1" t="s">
        <v>13</v>
      </c>
      <c r="B17" s="2" t="s">
        <v>86</v>
      </c>
      <c r="C17" s="3"/>
      <c r="D17" s="12" t="s">
        <v>34</v>
      </c>
      <c r="E17" s="2"/>
      <c r="F17" s="2"/>
      <c r="G17" s="2"/>
      <c r="H17" s="10" t="s">
        <v>27</v>
      </c>
      <c r="I17" s="29" t="str">
        <f>D17</f>
        <v>A6</v>
      </c>
      <c r="J17" s="29" t="str">
        <f>D17</f>
        <v>A6</v>
      </c>
      <c r="K17" s="29" t="str">
        <f>D17</f>
        <v>A6</v>
      </c>
      <c r="L17" s="29" t="str">
        <f t="shared" si="0"/>
        <v>A6</v>
      </c>
      <c r="M17" s="29" t="str">
        <f t="shared" si="1"/>
        <v>A6</v>
      </c>
    </row>
    <row r="18" spans="1:13" x14ac:dyDescent="0.25">
      <c r="A18" s="1" t="s">
        <v>14</v>
      </c>
      <c r="B18" s="2" t="s">
        <v>87</v>
      </c>
      <c r="C18" s="3"/>
      <c r="D18" s="7"/>
      <c r="E18" s="13" t="s">
        <v>40</v>
      </c>
      <c r="F18" s="2"/>
      <c r="G18" s="2"/>
      <c r="H18" s="10"/>
      <c r="I18" s="32" t="str">
        <f>E18</f>
        <v>M1_IN1</v>
      </c>
      <c r="J18" s="32" t="str">
        <f>E18</f>
        <v>M1_IN1</v>
      </c>
      <c r="K18" s="32" t="str">
        <f>E18</f>
        <v>M1_IN1</v>
      </c>
      <c r="L18" s="32" t="str">
        <f>E18</f>
        <v>M1_IN1</v>
      </c>
      <c r="M18" s="32" t="str">
        <f>E18</f>
        <v>M1_IN1</v>
      </c>
    </row>
    <row r="19" spans="1:13" x14ac:dyDescent="0.25">
      <c r="A19" s="1" t="s">
        <v>15</v>
      </c>
      <c r="B19" s="2" t="s">
        <v>66</v>
      </c>
      <c r="C19" s="3"/>
      <c r="D19" s="7"/>
      <c r="E19" s="2"/>
      <c r="F19" s="2"/>
      <c r="G19" s="2"/>
      <c r="H19" s="10" t="s">
        <v>42</v>
      </c>
      <c r="I19" s="16" t="s">
        <v>104</v>
      </c>
      <c r="J19" s="16" t="s">
        <v>104</v>
      </c>
      <c r="K19" s="16" t="s">
        <v>114</v>
      </c>
      <c r="L19" s="16" t="s">
        <v>114</v>
      </c>
      <c r="M19" s="16" t="s">
        <v>126</v>
      </c>
    </row>
    <row r="20" spans="1:13" x14ac:dyDescent="0.25">
      <c r="A20" s="1" t="s">
        <v>16</v>
      </c>
      <c r="B20" s="2" t="s">
        <v>67</v>
      </c>
      <c r="C20" s="3"/>
      <c r="D20" s="7"/>
      <c r="E20" s="2"/>
      <c r="F20" s="2"/>
      <c r="G20" s="14" t="s">
        <v>139</v>
      </c>
      <c r="H20" s="10" t="s">
        <v>35</v>
      </c>
      <c r="I20" s="31" t="str">
        <f>G20</f>
        <v>INT1 (2.1.0A only)</v>
      </c>
      <c r="J20" s="33"/>
      <c r="K20" s="31" t="str">
        <f>G20</f>
        <v>INT1 (2.1.0A only)</v>
      </c>
      <c r="L20" s="33"/>
      <c r="M20" s="16" t="s">
        <v>151</v>
      </c>
    </row>
    <row r="21" spans="1:13" x14ac:dyDescent="0.25">
      <c r="A21" s="1" t="s">
        <v>17</v>
      </c>
      <c r="B21" s="2" t="s">
        <v>68</v>
      </c>
      <c r="C21" s="3"/>
      <c r="D21" s="7"/>
      <c r="E21" s="2"/>
      <c r="F21" s="2"/>
      <c r="G21" s="2"/>
      <c r="H21" s="10" t="s">
        <v>37</v>
      </c>
      <c r="I21" s="16" t="s">
        <v>105</v>
      </c>
      <c r="J21" s="16" t="s">
        <v>105</v>
      </c>
      <c r="K21" s="16" t="s">
        <v>118</v>
      </c>
      <c r="L21" s="16" t="s">
        <v>118</v>
      </c>
      <c r="M21" s="16" t="s">
        <v>124</v>
      </c>
    </row>
    <row r="22" spans="1:13" x14ac:dyDescent="0.25">
      <c r="A22" s="1" t="s">
        <v>18</v>
      </c>
      <c r="B22" s="2" t="s">
        <v>69</v>
      </c>
      <c r="C22" s="3"/>
      <c r="D22" s="7"/>
      <c r="E22" s="2"/>
      <c r="F22" s="2"/>
      <c r="G22" s="2"/>
      <c r="H22" s="10" t="s">
        <v>39</v>
      </c>
      <c r="I22" s="16" t="s">
        <v>106</v>
      </c>
      <c r="J22" s="16" t="s">
        <v>106</v>
      </c>
      <c r="K22" s="16" t="s">
        <v>117</v>
      </c>
      <c r="L22" s="16" t="s">
        <v>117</v>
      </c>
      <c r="M22" s="16" t="s">
        <v>125</v>
      </c>
    </row>
    <row r="23" spans="1:13" x14ac:dyDescent="0.25">
      <c r="A23" s="1" t="s">
        <v>19</v>
      </c>
      <c r="B23" s="2" t="s">
        <v>88</v>
      </c>
      <c r="C23" s="3" t="s">
        <v>77</v>
      </c>
      <c r="D23" s="12" t="s">
        <v>43</v>
      </c>
      <c r="E23" s="2"/>
      <c r="F23" s="2"/>
      <c r="G23" s="2"/>
      <c r="H23" s="10" t="s">
        <v>36</v>
      </c>
      <c r="I23" s="29" t="str">
        <f>D23</f>
        <v>A3</v>
      </c>
      <c r="J23" s="29" t="str">
        <f>D23</f>
        <v>A3</v>
      </c>
      <c r="K23" s="29" t="str">
        <f>D23</f>
        <v>A3</v>
      </c>
      <c r="L23" s="29" t="str">
        <f>D23</f>
        <v>A3</v>
      </c>
      <c r="M23" s="29" t="str">
        <f>D23</f>
        <v>A3</v>
      </c>
    </row>
    <row r="24" spans="1:13" x14ac:dyDescent="0.25">
      <c r="A24" s="1" t="s">
        <v>20</v>
      </c>
      <c r="B24" s="2" t="s">
        <v>89</v>
      </c>
      <c r="C24" s="3" t="s">
        <v>78</v>
      </c>
      <c r="D24" s="12" t="s">
        <v>44</v>
      </c>
      <c r="E24" s="2"/>
      <c r="F24" s="2"/>
      <c r="G24" s="2"/>
      <c r="H24" s="10" t="s">
        <v>38</v>
      </c>
      <c r="I24" s="29" t="str">
        <f>D24</f>
        <v>A4</v>
      </c>
      <c r="J24" s="29" t="str">
        <f>D24</f>
        <v>A4</v>
      </c>
      <c r="K24" s="29" t="str">
        <f>D24</f>
        <v>A4</v>
      </c>
      <c r="L24" s="29" t="str">
        <f>D24</f>
        <v>A4</v>
      </c>
      <c r="M24" s="29" t="str">
        <f>D24</f>
        <v>A4</v>
      </c>
    </row>
    <row r="25" spans="1:13" x14ac:dyDescent="0.25">
      <c r="A25" s="1" t="s">
        <v>21</v>
      </c>
      <c r="B25" s="2" t="s">
        <v>90</v>
      </c>
      <c r="C25" s="3"/>
      <c r="D25" s="7"/>
      <c r="E25" s="13" t="s">
        <v>41</v>
      </c>
      <c r="F25" s="2"/>
      <c r="G25" s="2"/>
      <c r="H25" s="10"/>
      <c r="I25" s="32" t="str">
        <f>E25</f>
        <v>M1_IN2</v>
      </c>
      <c r="J25" s="32" t="str">
        <f>E25</f>
        <v>M1_IN2</v>
      </c>
      <c r="K25" s="32" t="str">
        <f>E25</f>
        <v>M1_IN2</v>
      </c>
      <c r="L25" s="32" t="str">
        <f>E25</f>
        <v>M1_IN2</v>
      </c>
      <c r="M25" s="32" t="str">
        <f>E25</f>
        <v>M1_IN2</v>
      </c>
    </row>
    <row r="26" spans="1:13" x14ac:dyDescent="0.25">
      <c r="A26" s="1" t="s">
        <v>131</v>
      </c>
      <c r="B26" s="2" t="s">
        <v>90</v>
      </c>
      <c r="C26" s="3"/>
      <c r="D26" s="7"/>
      <c r="E26" s="2"/>
      <c r="F26" s="15" t="s">
        <v>133</v>
      </c>
      <c r="G26" s="14" t="s">
        <v>140</v>
      </c>
      <c r="H26" s="10"/>
      <c r="I26" s="30" t="str">
        <f>F26</f>
        <v>CMD (2.1.A only)</v>
      </c>
      <c r="J26" s="31" t="str">
        <f>G26</f>
        <v>SPI_SDI (2.1.2)</v>
      </c>
      <c r="K26" s="30" t="str">
        <f t="shared" ref="K26:L28" si="2">F26</f>
        <v>CMD (2.1.A only)</v>
      </c>
      <c r="L26" s="31" t="str">
        <f t="shared" si="2"/>
        <v>SPI_SDI (2.1.2)</v>
      </c>
      <c r="M26" s="31" t="str">
        <f>G26</f>
        <v>SPI_SDI (2.1.2)</v>
      </c>
    </row>
    <row r="27" spans="1:13" x14ac:dyDescent="0.25">
      <c r="A27" s="1" t="s">
        <v>45</v>
      </c>
      <c r="B27" s="2" t="s">
        <v>90</v>
      </c>
      <c r="C27" s="3"/>
      <c r="D27" s="7"/>
      <c r="E27" s="2"/>
      <c r="F27" s="15" t="s">
        <v>134</v>
      </c>
      <c r="G27" s="14" t="s">
        <v>141</v>
      </c>
      <c r="H27" s="10"/>
      <c r="I27" s="30" t="str">
        <f>F27</f>
        <v>CLK (2.1.A only)</v>
      </c>
      <c r="J27" s="31" t="str">
        <f t="shared" ref="J27:J28" si="3">G27</f>
        <v>SPI_SDO (2.1.2)</v>
      </c>
      <c r="K27" s="30" t="str">
        <f t="shared" si="2"/>
        <v>CLK (2.1.A only)</v>
      </c>
      <c r="L27" s="31" t="str">
        <f t="shared" si="2"/>
        <v>SPI_SDO (2.1.2)</v>
      </c>
      <c r="M27" s="31" t="str">
        <f>G27</f>
        <v>SPI_SDO (2.1.2)</v>
      </c>
    </row>
    <row r="28" spans="1:13" x14ac:dyDescent="0.25">
      <c r="A28" s="1" t="s">
        <v>51</v>
      </c>
      <c r="B28" s="2" t="s">
        <v>90</v>
      </c>
      <c r="C28" s="3"/>
      <c r="D28" s="7"/>
      <c r="E28" s="2"/>
      <c r="F28" s="15" t="s">
        <v>135</v>
      </c>
      <c r="G28" s="14" t="s">
        <v>142</v>
      </c>
      <c r="H28" s="10"/>
      <c r="I28" s="30" t="str">
        <f>F28</f>
        <v>DAT0 (2.1.A only)</v>
      </c>
      <c r="J28" s="31" t="str">
        <f t="shared" si="3"/>
        <v>SPI_SPC (2.1.2)</v>
      </c>
      <c r="K28" s="30" t="str">
        <f t="shared" si="2"/>
        <v>DAT0 (2.1.A only)</v>
      </c>
      <c r="L28" s="31" t="str">
        <f t="shared" si="2"/>
        <v>SPI_SPC (2.1.2)</v>
      </c>
      <c r="M28" s="31" t="str">
        <f>G28</f>
        <v>SPI_SPC (2.1.2)</v>
      </c>
    </row>
    <row r="29" spans="1:13" x14ac:dyDescent="0.25">
      <c r="A29" s="1" t="s">
        <v>91</v>
      </c>
      <c r="B29" s="2" t="s">
        <v>90</v>
      </c>
      <c r="C29" s="3"/>
      <c r="D29" s="12" t="s">
        <v>93</v>
      </c>
      <c r="E29" s="2"/>
      <c r="F29" s="2"/>
      <c r="G29" s="2"/>
      <c r="H29" s="10"/>
      <c r="I29" s="29" t="str">
        <f>D29</f>
        <v>PUA2</v>
      </c>
      <c r="J29" s="29" t="str">
        <f>D29</f>
        <v>PUA2</v>
      </c>
      <c r="K29" s="29" t="str">
        <f>D29</f>
        <v>PUA2</v>
      </c>
      <c r="L29" s="29" t="str">
        <f>D29</f>
        <v>PUA2</v>
      </c>
      <c r="M29" s="29" t="str">
        <f>D29</f>
        <v>PUA2</v>
      </c>
    </row>
    <row r="30" spans="1:13" ht="15.75" thickBot="1" x14ac:dyDescent="0.3">
      <c r="A30" s="1" t="s">
        <v>92</v>
      </c>
      <c r="B30" s="2" t="s">
        <v>90</v>
      </c>
      <c r="C30" s="3"/>
      <c r="D30" s="12" t="s">
        <v>94</v>
      </c>
      <c r="E30" s="2"/>
      <c r="F30" s="2"/>
      <c r="G30" s="2"/>
      <c r="H30" s="10"/>
      <c r="I30" s="29" t="str">
        <f>D30</f>
        <v>USTX</v>
      </c>
      <c r="J30" s="29" t="str">
        <f>D30</f>
        <v>USTX</v>
      </c>
      <c r="K30" s="29" t="str">
        <f>D30</f>
        <v>USTX</v>
      </c>
      <c r="L30" s="29" t="str">
        <f>D30</f>
        <v>USTX</v>
      </c>
      <c r="M30" s="29" t="str">
        <f>D30</f>
        <v>USTX</v>
      </c>
    </row>
    <row r="31" spans="1:13" ht="15.75" thickBot="1" x14ac:dyDescent="0.3">
      <c r="A31" s="1" t="s">
        <v>73</v>
      </c>
      <c r="B31" s="2" t="s">
        <v>75</v>
      </c>
      <c r="C31" s="3"/>
      <c r="D31" s="7"/>
      <c r="E31" s="2"/>
      <c r="F31" s="2"/>
      <c r="G31" s="2"/>
      <c r="H31" s="10"/>
      <c r="I31" s="28" t="str">
        <f>B31</f>
        <v>TxD</v>
      </c>
      <c r="J31" s="28" t="str">
        <f>B31</f>
        <v>TxD</v>
      </c>
      <c r="K31" s="28" t="str">
        <f>B31</f>
        <v>TxD</v>
      </c>
      <c r="L31" s="28" t="str">
        <f>B31</f>
        <v>TxD</v>
      </c>
      <c r="M31" s="28" t="str">
        <f>B31</f>
        <v>TxD</v>
      </c>
    </row>
    <row r="32" spans="1:13" x14ac:dyDescent="0.25">
      <c r="A32" s="1" t="s">
        <v>74</v>
      </c>
      <c r="B32" s="2" t="s">
        <v>76</v>
      </c>
      <c r="C32" s="3"/>
      <c r="D32" s="7"/>
      <c r="E32" s="2"/>
      <c r="F32" s="2"/>
      <c r="G32" s="2"/>
      <c r="H32" s="10"/>
      <c r="I32" s="28" t="str">
        <f>B32</f>
        <v>RxD</v>
      </c>
      <c r="J32" s="28" t="str">
        <f>B32</f>
        <v>RxD</v>
      </c>
      <c r="K32" s="28" t="str">
        <f>B32</f>
        <v>RxD</v>
      </c>
      <c r="L32" s="28" t="str">
        <f>B32</f>
        <v>RxD</v>
      </c>
      <c r="M32" s="28" t="str">
        <f>B32</f>
        <v>RxD</v>
      </c>
    </row>
    <row r="33" spans="1:13" x14ac:dyDescent="0.25">
      <c r="A33" s="1" t="s">
        <v>52</v>
      </c>
      <c r="B33" s="2" t="s">
        <v>90</v>
      </c>
      <c r="C33" s="3" t="s">
        <v>79</v>
      </c>
      <c r="D33" s="7"/>
      <c r="E33" s="26" t="s">
        <v>53</v>
      </c>
      <c r="F33" s="2"/>
      <c r="G33" s="2"/>
      <c r="H33" s="10"/>
      <c r="I33" s="32" t="str">
        <f>E33</f>
        <v>M2_IN1</v>
      </c>
      <c r="J33" s="32" t="str">
        <f>E33</f>
        <v>M2_IN1</v>
      </c>
      <c r="K33" s="32" t="str">
        <f>E33</f>
        <v>M2_IN1</v>
      </c>
      <c r="L33" s="32" t="str">
        <f>E33</f>
        <v>M2_IN1</v>
      </c>
      <c r="M33" s="32" t="str">
        <f>E33</f>
        <v>M2_IN1</v>
      </c>
    </row>
    <row r="34" spans="1:13" x14ac:dyDescent="0.25">
      <c r="A34" s="1" t="s">
        <v>55</v>
      </c>
      <c r="B34" s="2" t="s">
        <v>90</v>
      </c>
      <c r="C34" s="3" t="s">
        <v>80</v>
      </c>
      <c r="D34" s="7"/>
      <c r="E34" s="26" t="s">
        <v>54</v>
      </c>
      <c r="F34" s="2"/>
      <c r="G34" s="2"/>
      <c r="H34" s="10"/>
      <c r="I34" s="32" t="str">
        <f>E34</f>
        <v>M2_IN2</v>
      </c>
      <c r="J34" s="32" t="str">
        <f>E34</f>
        <v>M2_IN2</v>
      </c>
      <c r="K34" s="32" t="str">
        <f>E34</f>
        <v>M2_IN2</v>
      </c>
      <c r="L34" s="32" t="str">
        <f>E34</f>
        <v>M2_IN2</v>
      </c>
      <c r="M34" s="32" t="str">
        <f>E34</f>
        <v>M2_IN2</v>
      </c>
    </row>
    <row r="35" spans="1:13" x14ac:dyDescent="0.25">
      <c r="A35" s="1" t="s">
        <v>56</v>
      </c>
      <c r="B35" s="2" t="s">
        <v>90</v>
      </c>
      <c r="C35" s="3"/>
      <c r="D35" s="7"/>
      <c r="E35" s="2"/>
      <c r="F35" s="2"/>
      <c r="G35" s="2"/>
      <c r="H35" s="10" t="s">
        <v>57</v>
      </c>
      <c r="I35" s="16" t="s">
        <v>107</v>
      </c>
      <c r="J35" s="16" t="s">
        <v>107</v>
      </c>
      <c r="K35" s="16" t="s">
        <v>100</v>
      </c>
      <c r="L35" s="16" t="s">
        <v>100</v>
      </c>
      <c r="M35" s="16" t="s">
        <v>128</v>
      </c>
    </row>
    <row r="36" spans="1:13" ht="15.75" thickBot="1" x14ac:dyDescent="0.3">
      <c r="A36" s="4" t="s">
        <v>59</v>
      </c>
      <c r="B36" s="5" t="s">
        <v>90</v>
      </c>
      <c r="C36" s="6"/>
      <c r="D36" s="9"/>
      <c r="E36" s="5"/>
      <c r="F36" s="5"/>
      <c r="G36" s="5"/>
      <c r="H36" s="11" t="s">
        <v>58</v>
      </c>
      <c r="I36" s="17" t="s">
        <v>101</v>
      </c>
      <c r="J36" s="17" t="s">
        <v>101</v>
      </c>
      <c r="K36" s="17" t="s">
        <v>101</v>
      </c>
      <c r="L36" s="17" t="s">
        <v>101</v>
      </c>
      <c r="M36" s="17" t="s">
        <v>129</v>
      </c>
    </row>
  </sheetData>
  <mergeCells count="6">
    <mergeCell ref="A1:C1"/>
    <mergeCell ref="D1:H1"/>
    <mergeCell ref="K2:L2"/>
    <mergeCell ref="K1:L1"/>
    <mergeCell ref="I1:J1"/>
    <mergeCell ref="I2:J2"/>
  </mergeCells>
  <phoneticPr fontId="2" type="noConversion"/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Fuss</dc:creator>
  <cp:lastModifiedBy>Stefan Fuss</cp:lastModifiedBy>
  <dcterms:created xsi:type="dcterms:W3CDTF">2025-03-14T18:26:19Z</dcterms:created>
  <dcterms:modified xsi:type="dcterms:W3CDTF">2025-04-09T05:04:55Z</dcterms:modified>
</cp:coreProperties>
</file>